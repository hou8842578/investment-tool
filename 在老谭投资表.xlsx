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Desktop/投资/"/>
    </mc:Choice>
  </mc:AlternateContent>
  <xr:revisionPtr revIDLastSave="0" documentId="13_ncr:1_{DC6EDF46-4CD6-8847-B34C-2146EB89CBF8}" xr6:coauthVersionLast="47" xr6:coauthVersionMax="47" xr10:uidLastSave="{00000000-0000-0000-0000-000000000000}"/>
  <bookViews>
    <workbookView xWindow="0" yWindow="800" windowWidth="30240" windowHeight="17980" xr2:uid="{23611AF4-1D92-9447-8861-7FBE08848BE4}"/>
  </bookViews>
  <sheets>
    <sheet name="Sheet1" sheetId="1" r:id="rId1"/>
  </sheets>
  <definedNames>
    <definedName name="_xlnm._FilterDatabase" localSheetId="0" hidden="1">Sheet1!$A$1:$L$66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H66" i="1"/>
  <c r="G66" i="1"/>
  <c r="E65" i="1"/>
  <c r="H65" i="1" s="1"/>
  <c r="G65" i="1"/>
  <c r="E64" i="1"/>
  <c r="H64" i="1" s="1"/>
  <c r="G64" i="1"/>
  <c r="E63" i="1"/>
  <c r="H63" i="1" s="1"/>
  <c r="G63" i="1"/>
  <c r="E62" i="1"/>
  <c r="H62" i="1" s="1"/>
  <c r="G62" i="1"/>
  <c r="E61" i="1"/>
  <c r="H61" i="1" s="1"/>
  <c r="G61" i="1"/>
  <c r="E60" i="1"/>
  <c r="H60" i="1" s="1"/>
  <c r="G60" i="1"/>
  <c r="J53" i="1"/>
  <c r="J54" i="1"/>
  <c r="J55" i="1"/>
  <c r="J56" i="1"/>
  <c r="J57" i="1"/>
  <c r="J58" i="1"/>
  <c r="J59" i="1"/>
  <c r="E59" i="1"/>
  <c r="H59" i="1" s="1"/>
  <c r="G59" i="1"/>
  <c r="E58" i="1"/>
  <c r="H58" i="1" s="1"/>
  <c r="G58" i="1"/>
  <c r="E57" i="1"/>
  <c r="H57" i="1" s="1"/>
  <c r="G57" i="1"/>
  <c r="E56" i="1"/>
  <c r="H56" i="1" s="1"/>
  <c r="G56" i="1"/>
  <c r="E55" i="1"/>
  <c r="H55" i="1" s="1"/>
  <c r="G55" i="1"/>
  <c r="E54" i="1"/>
  <c r="H54" i="1" s="1"/>
  <c r="G54" i="1"/>
  <c r="E53" i="1"/>
  <c r="H53" i="1" s="1"/>
  <c r="G53" i="1"/>
  <c r="J46" i="1"/>
  <c r="J47" i="1"/>
  <c r="J48" i="1"/>
  <c r="J49" i="1"/>
  <c r="J50" i="1"/>
  <c r="J51" i="1"/>
  <c r="J52" i="1"/>
  <c r="E52" i="1"/>
  <c r="H52" i="1" s="1"/>
  <c r="G52" i="1"/>
  <c r="E51" i="1"/>
  <c r="H51" i="1" s="1"/>
  <c r="G51" i="1"/>
  <c r="E50" i="1"/>
  <c r="H50" i="1" s="1"/>
  <c r="G50" i="1"/>
  <c r="E49" i="1"/>
  <c r="H49" i="1" s="1"/>
  <c r="G49" i="1"/>
  <c r="E48" i="1"/>
  <c r="H48" i="1" s="1"/>
  <c r="G48" i="1"/>
  <c r="J41" i="1"/>
  <c r="J42" i="1"/>
  <c r="J43" i="1"/>
  <c r="J44" i="1"/>
  <c r="J45" i="1"/>
  <c r="J39" i="1"/>
  <c r="J40" i="1"/>
  <c r="E47" i="1"/>
  <c r="H47" i="1" s="1"/>
  <c r="G47" i="1"/>
  <c r="E46" i="1"/>
  <c r="H46" i="1" s="1"/>
  <c r="G46" i="1"/>
  <c r="E45" i="1"/>
  <c r="H45" i="1" s="1"/>
  <c r="G45" i="1"/>
  <c r="E44" i="1"/>
  <c r="H44" i="1" s="1"/>
  <c r="G44" i="1"/>
  <c r="G43" i="1"/>
  <c r="E43" i="1"/>
  <c r="H43" i="1" s="1"/>
  <c r="E42" i="1"/>
  <c r="H42" i="1" s="1"/>
  <c r="G42" i="1"/>
  <c r="E41" i="1"/>
  <c r="H41" i="1" s="1"/>
  <c r="G41" i="1"/>
  <c r="J32" i="1"/>
  <c r="J33" i="1"/>
  <c r="J34" i="1"/>
  <c r="J35" i="1"/>
  <c r="J36" i="1"/>
  <c r="J37" i="1"/>
  <c r="J38" i="1"/>
  <c r="E40" i="1"/>
  <c r="H40" i="1" s="1"/>
  <c r="G40" i="1"/>
  <c r="E39" i="1"/>
  <c r="H39" i="1" s="1"/>
  <c r="G39" i="1"/>
  <c r="E38" i="1"/>
  <c r="H38" i="1" s="1"/>
  <c r="G38" i="1"/>
  <c r="E37" i="1"/>
  <c r="H37" i="1" s="1"/>
  <c r="G37" i="1"/>
  <c r="E36" i="1"/>
  <c r="H36" i="1" s="1"/>
  <c r="G36" i="1"/>
  <c r="E35" i="1"/>
  <c r="H35" i="1" s="1"/>
  <c r="G35" i="1"/>
  <c r="E34" i="1"/>
  <c r="H34" i="1" s="1"/>
  <c r="G34" i="1"/>
  <c r="E33" i="1"/>
  <c r="H33" i="1" s="1"/>
  <c r="G33" i="1"/>
  <c r="E32" i="1"/>
  <c r="H32" i="1" s="1"/>
  <c r="G32" i="1"/>
  <c r="J24" i="1"/>
  <c r="J25" i="1"/>
  <c r="J26" i="1"/>
  <c r="J27" i="1"/>
  <c r="J28" i="1"/>
  <c r="J29" i="1"/>
  <c r="J30" i="1"/>
  <c r="J31" i="1"/>
  <c r="E31" i="1"/>
  <c r="H31" i="1" s="1"/>
  <c r="G31" i="1"/>
  <c r="E30" i="1"/>
  <c r="H30" i="1" s="1"/>
  <c r="G30" i="1"/>
  <c r="J23" i="1"/>
  <c r="H23" i="1"/>
  <c r="E29" i="1"/>
  <c r="H29" i="1" s="1"/>
  <c r="G29" i="1"/>
  <c r="E28" i="1"/>
  <c r="H28" i="1" s="1"/>
  <c r="G28" i="1"/>
  <c r="J22" i="1"/>
  <c r="J21" i="1"/>
  <c r="E27" i="1"/>
  <c r="H27" i="1" s="1"/>
  <c r="G27" i="1"/>
  <c r="E26" i="1"/>
  <c r="H26" i="1" s="1"/>
  <c r="G26" i="1"/>
  <c r="E25" i="1"/>
  <c r="H25" i="1" s="1"/>
  <c r="G25" i="1"/>
  <c r="E24" i="1"/>
  <c r="H24" i="1" s="1"/>
  <c r="G24" i="1"/>
  <c r="E23" i="1"/>
  <c r="G23" i="1"/>
  <c r="E22" i="1"/>
  <c r="H22" i="1" s="1"/>
  <c r="G22" i="1"/>
  <c r="G21" i="1"/>
  <c r="E21" i="1"/>
  <c r="H21" i="1" s="1"/>
  <c r="J14" i="1"/>
  <c r="J15" i="1"/>
  <c r="J16" i="1"/>
  <c r="J17" i="1"/>
  <c r="J18" i="1"/>
  <c r="J19" i="1"/>
  <c r="J20" i="1"/>
  <c r="J13" i="1"/>
  <c r="E20" i="1"/>
  <c r="H20" i="1" s="1"/>
  <c r="G20" i="1"/>
  <c r="E19" i="1"/>
  <c r="H19" i="1" s="1"/>
  <c r="G19" i="1"/>
  <c r="E18" i="1"/>
  <c r="H18" i="1" s="1"/>
  <c r="G18" i="1"/>
  <c r="J3" i="1"/>
  <c r="J4" i="1"/>
  <c r="J5" i="1"/>
  <c r="J6" i="1"/>
  <c r="J7" i="1"/>
  <c r="J8" i="1"/>
  <c r="J9" i="1"/>
  <c r="J10" i="1"/>
  <c r="J11" i="1"/>
  <c r="J12" i="1"/>
  <c r="J2" i="1"/>
  <c r="E17" i="1"/>
  <c r="H17" i="1" s="1"/>
  <c r="G17" i="1"/>
  <c r="E16" i="1"/>
  <c r="H16" i="1" s="1"/>
  <c r="G16" i="1"/>
  <c r="E15" i="1"/>
  <c r="H15" i="1" s="1"/>
  <c r="G15" i="1"/>
  <c r="E14" i="1"/>
  <c r="H14" i="1" s="1"/>
  <c r="G14" i="1"/>
  <c r="E13" i="1"/>
  <c r="H13" i="1" s="1"/>
  <c r="G13" i="1"/>
  <c r="E12" i="1"/>
  <c r="H12" i="1"/>
  <c r="G12" i="1"/>
  <c r="E11" i="1"/>
  <c r="H11" i="1" s="1"/>
  <c r="G11" i="1"/>
  <c r="H2" i="1"/>
  <c r="H3" i="1"/>
  <c r="H4" i="1"/>
  <c r="H5" i="1"/>
  <c r="H7" i="1"/>
  <c r="H10" i="1"/>
  <c r="H6" i="1"/>
  <c r="E10" i="1"/>
  <c r="G10" i="1"/>
  <c r="E9" i="1"/>
  <c r="H9" i="1" s="1"/>
  <c r="G9" i="1"/>
  <c r="F86" i="1" l="1"/>
  <c r="F85" i="1"/>
  <c r="F83" i="1"/>
  <c r="F84" i="1"/>
  <c r="F82" i="1"/>
  <c r="F81" i="1"/>
  <c r="F80" i="1"/>
  <c r="F79" i="1"/>
  <c r="F76" i="1"/>
  <c r="F77" i="1"/>
  <c r="F78" i="1"/>
  <c r="F75" i="1"/>
  <c r="F72" i="1"/>
  <c r="F73" i="1"/>
  <c r="F71" i="1"/>
  <c r="F74" i="1"/>
  <c r="E8" i="1"/>
  <c r="H8" i="1" s="1"/>
  <c r="G8" i="1"/>
  <c r="G5" i="1"/>
  <c r="G7" i="1"/>
  <c r="G6" i="1"/>
  <c r="E7" i="1"/>
  <c r="D4" i="1"/>
  <c r="C72" i="1"/>
  <c r="C71" i="1"/>
  <c r="C70" i="1"/>
  <c r="E5" i="1"/>
  <c r="E6" i="1"/>
</calcChain>
</file>

<file path=xl/sharedStrings.xml><?xml version="1.0" encoding="utf-8"?>
<sst xmlns="http://schemas.openxmlformats.org/spreadsheetml/2006/main" count="83" uniqueCount="25">
  <si>
    <t>投资金额</t>
    <phoneticPr fontId="1" type="noConversion"/>
  </si>
  <si>
    <t>日期</t>
    <phoneticPr fontId="1" type="noConversion"/>
  </si>
  <si>
    <t>回款日期</t>
    <phoneticPr fontId="1" type="noConversion"/>
  </si>
  <si>
    <t>利息总额</t>
    <phoneticPr fontId="1" type="noConversion"/>
  </si>
  <si>
    <t>是否回款</t>
    <phoneticPr fontId="1" type="noConversion"/>
  </si>
  <si>
    <t>是</t>
    <phoneticPr fontId="1" type="noConversion"/>
  </si>
  <si>
    <t>最终利息</t>
    <phoneticPr fontId="1" type="noConversion"/>
  </si>
  <si>
    <t>给老谭</t>
    <phoneticPr fontId="1" type="noConversion"/>
  </si>
  <si>
    <t>天数</t>
    <phoneticPr fontId="1" type="noConversion"/>
  </si>
  <si>
    <t>未回款总计</t>
    <phoneticPr fontId="1" type="noConversion"/>
  </si>
  <si>
    <t>已收利息总计</t>
    <phoneticPr fontId="1" type="noConversion"/>
  </si>
  <si>
    <t>待收利息总计</t>
    <phoneticPr fontId="1" type="noConversion"/>
  </si>
  <si>
    <t>利息(/万)</t>
    <phoneticPr fontId="1" type="noConversion"/>
  </si>
  <si>
    <t>距回款天数</t>
    <phoneticPr fontId="1" type="noConversion"/>
  </si>
  <si>
    <t>实际回款日期</t>
    <phoneticPr fontId="1" type="noConversion"/>
  </si>
  <si>
    <t>实际回款月份</t>
    <phoneticPr fontId="1" type="noConversion"/>
  </si>
  <si>
    <t>月份</t>
    <phoneticPr fontId="1" type="noConversion"/>
  </si>
  <si>
    <t>青山</t>
    <phoneticPr fontId="1" type="noConversion"/>
  </si>
  <si>
    <t>贴给老谭60000</t>
    <phoneticPr fontId="1" type="noConversion"/>
  </si>
  <si>
    <t>老谭贴我60000</t>
    <phoneticPr fontId="1" type="noConversion"/>
  </si>
  <si>
    <t>有青山30000</t>
    <phoneticPr fontId="1" type="noConversion"/>
  </si>
  <si>
    <t>有青山10万</t>
    <phoneticPr fontId="1" type="noConversion"/>
  </si>
  <si>
    <t>有青山5万</t>
    <phoneticPr fontId="1" type="noConversion"/>
  </si>
  <si>
    <t>青山2900</t>
    <phoneticPr fontId="1" type="noConversion"/>
  </si>
  <si>
    <t>招行15万，农行10万，分两笔转的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</si>
</sst>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b/>
        <i/>
        <u val="none"/>
        <color rgb="FFFF0000"/>
      </font>
      <numFmt numFmtId="0" formatCode="General"/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4424786952008833E-2"/>
          <c:y val="9.5660685154975528E-2"/>
          <c:w val="0.96081923419412285"/>
          <c:h val="0.79278981644423319"/>
        </c:manualLayout>
      </c:layout>
      <c:lineChart>
        <c:grouping val="standard"/>
        <c:varyColors val="0"/>
        <c:ser>
          <c:idx val="0"/>
          <c:order val="0"/>
          <c:tx>
            <c:strRef>
              <c:f>Sheet1!$F$70</c:f>
              <c:strCache>
                <c:ptCount val="1"/>
                <c:pt idx="0">
                  <c:v>利息总额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Sheet1!$E$71:$E$86</c:f>
              <c:numCache>
                <c:formatCode>yyyy\-mm</c:formatCode>
                <c:ptCount val="16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  <c:pt idx="14">
                  <c:v>46113</c:v>
                </c:pt>
                <c:pt idx="15">
                  <c:v>46143</c:v>
                </c:pt>
              </c:numCache>
            </c:numRef>
          </c:cat>
          <c:val>
            <c:numRef>
              <c:f>Sheet1!$F$71:$F$86</c:f>
              <c:numCache>
                <c:formatCode>General</c:formatCode>
                <c:ptCount val="16"/>
                <c:pt idx="0">
                  <c:v>6200</c:v>
                </c:pt>
                <c:pt idx="1">
                  <c:v>8120</c:v>
                </c:pt>
                <c:pt idx="2">
                  <c:v>17700</c:v>
                </c:pt>
                <c:pt idx="3">
                  <c:v>21240</c:v>
                </c:pt>
                <c:pt idx="4">
                  <c:v>25800</c:v>
                </c:pt>
                <c:pt idx="5">
                  <c:v>21520</c:v>
                </c:pt>
                <c:pt idx="6">
                  <c:v>19100</c:v>
                </c:pt>
                <c:pt idx="7">
                  <c:v>20970</c:v>
                </c:pt>
                <c:pt idx="8">
                  <c:v>19950</c:v>
                </c:pt>
                <c:pt idx="9">
                  <c:v>20720</c:v>
                </c:pt>
                <c:pt idx="10">
                  <c:v>14490</c:v>
                </c:pt>
                <c:pt idx="11">
                  <c:v>23760</c:v>
                </c:pt>
                <c:pt idx="12">
                  <c:v>10920</c:v>
                </c:pt>
                <c:pt idx="13">
                  <c:v>25200</c:v>
                </c:pt>
                <c:pt idx="14">
                  <c:v>25200</c:v>
                </c:pt>
                <c:pt idx="15">
                  <c:v>11300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4-1E40-898E-A373C9890E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88387887"/>
        <c:axId val="288389599"/>
      </c:lineChart>
      <c:dateAx>
        <c:axId val="288387887"/>
        <c:scaling>
          <c:orientation val="minMax"/>
        </c:scaling>
        <c:delete val="0"/>
        <c:axPos val="b"/>
        <c:numFmt formatCode="yyyy\-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8389599"/>
        <c:crosses val="autoZero"/>
        <c:auto val="1"/>
        <c:lblOffset val="100"/>
        <c:baseTimeUnit val="months"/>
      </c:dateAx>
      <c:valAx>
        <c:axId val="288389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838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466408</xdr:colOff>
      <xdr:row>70</xdr:row>
      <xdr:rowOff>69850</xdr:rowOff>
    </xdr:from>
    <xdr:to>
      <xdr:col>14</xdr:col>
      <xdr:colOff>594043</xdr:colOff>
      <xdr:row>87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CA9F599-C90A-FE15-4B6A-181AC2DC9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02FF-479D-CC4C-BDFA-E609B00DE0B1}">
  <sheetPr filterMode="1"/>
  <dimension ref="A1:N93"/>
  <sheetViews>
    <sheetView tabSelected="1" workbookViewId="0">
      <selection activeCell="F60" sqref="F60"/>
    </sheetView>
  </sheetViews>
  <sheetFormatPr baseColWidth="10" defaultRowHeight="18"/>
  <cols>
    <col min="1" max="1" width="13" style="1" bestFit="1" customWidth="1"/>
    <col min="2" max="2" width="11" style="1" bestFit="1" customWidth="1"/>
    <col min="3" max="4" width="14.33203125" style="1" customWidth="1"/>
    <col min="5" max="6" width="22.83203125" style="2" customWidth="1"/>
    <col min="7" max="7" width="22.83203125" style="1" customWidth="1"/>
    <col min="8" max="8" width="13.6640625" style="1" customWidth="1"/>
    <col min="9" max="10" width="10.83203125" style="1"/>
    <col min="11" max="12" width="11" style="1" bestFit="1" customWidth="1"/>
    <col min="13" max="13" width="16.5" style="1" customWidth="1"/>
    <col min="14" max="16384" width="10.83203125" style="1"/>
  </cols>
  <sheetData>
    <row r="1" spans="1:12">
      <c r="A1" s="1" t="s">
        <v>1</v>
      </c>
      <c r="B1" s="1" t="s">
        <v>0</v>
      </c>
      <c r="C1" s="1" t="s">
        <v>12</v>
      </c>
      <c r="D1" s="1" t="s">
        <v>8</v>
      </c>
      <c r="E1" s="2" t="s">
        <v>2</v>
      </c>
      <c r="F1" s="2" t="s">
        <v>14</v>
      </c>
      <c r="G1" s="1" t="s">
        <v>3</v>
      </c>
      <c r="H1" s="1" t="s">
        <v>13</v>
      </c>
      <c r="I1" s="1" t="s">
        <v>4</v>
      </c>
      <c r="J1" s="1" t="s">
        <v>15</v>
      </c>
      <c r="K1" s="1" t="s">
        <v>6</v>
      </c>
      <c r="L1" s="1" t="s">
        <v>7</v>
      </c>
    </row>
    <row r="2" spans="1:12" hidden="1">
      <c r="A2" s="2">
        <v>45674</v>
      </c>
      <c r="B2" s="1">
        <v>50000</v>
      </c>
      <c r="C2" s="1">
        <v>640</v>
      </c>
      <c r="E2" s="2">
        <v>45707</v>
      </c>
      <c r="F2" s="2">
        <v>45707</v>
      </c>
      <c r="G2" s="1">
        <v>3200</v>
      </c>
      <c r="H2" s="1" t="str">
        <f t="shared" ref="H2:H42" ca="1" si="0">IF(I2&lt;&gt;"是",E2-TODAY(),"")</f>
        <v/>
      </c>
      <c r="I2" s="1" t="s">
        <v>5</v>
      </c>
      <c r="J2" s="1" t="str">
        <f t="shared" ref="J2:J12" si="1">TEXT(F2,"yyyy-MM")</f>
        <v>2025-02</v>
      </c>
      <c r="K2" s="1">
        <v>3200</v>
      </c>
      <c r="L2" s="1">
        <v>200</v>
      </c>
    </row>
    <row r="3" spans="1:12" hidden="1">
      <c r="A3" s="2">
        <v>45685</v>
      </c>
      <c r="B3" s="1">
        <v>100000</v>
      </c>
      <c r="C3" s="1">
        <v>300</v>
      </c>
      <c r="E3" s="2">
        <v>45712</v>
      </c>
      <c r="F3" s="2">
        <v>45712</v>
      </c>
      <c r="G3" s="1">
        <v>3000</v>
      </c>
      <c r="H3" s="1" t="str">
        <f t="shared" ca="1" si="0"/>
        <v/>
      </c>
      <c r="I3" s="1" t="s">
        <v>5</v>
      </c>
      <c r="J3" s="1" t="str">
        <f t="shared" si="1"/>
        <v>2025-02</v>
      </c>
      <c r="K3" s="1">
        <v>3000</v>
      </c>
    </row>
    <row r="4" spans="1:12" hidden="1">
      <c r="A4" s="2">
        <v>45702</v>
      </c>
      <c r="B4" s="1">
        <v>100000</v>
      </c>
      <c r="C4" s="1">
        <v>350</v>
      </c>
      <c r="D4" s="1">
        <f>E4-A4</f>
        <v>27</v>
      </c>
      <c r="E4" s="2">
        <v>45729</v>
      </c>
      <c r="F4" s="2">
        <v>45730</v>
      </c>
      <c r="G4" s="1">
        <v>3500</v>
      </c>
      <c r="H4" s="1" t="str">
        <f t="shared" ca="1" si="0"/>
        <v/>
      </c>
      <c r="I4" s="1" t="s">
        <v>5</v>
      </c>
      <c r="J4" s="1" t="str">
        <f t="shared" si="1"/>
        <v>2025-03</v>
      </c>
      <c r="K4" s="1">
        <v>3500</v>
      </c>
    </row>
    <row r="5" spans="1:12" hidden="1">
      <c r="A5" s="2">
        <v>45709</v>
      </c>
      <c r="B5" s="1">
        <v>140000</v>
      </c>
      <c r="C5" s="1">
        <v>330</v>
      </c>
      <c r="D5" s="1">
        <v>28</v>
      </c>
      <c r="E5" s="2">
        <f t="shared" ref="E5:E42" si="2">A5+D5</f>
        <v>45737</v>
      </c>
      <c r="F5" s="2">
        <v>45740</v>
      </c>
      <c r="G5" s="1">
        <f t="shared" ref="G5:G42" si="3">B5/10000*C5</f>
        <v>4620</v>
      </c>
      <c r="H5" s="1" t="str">
        <f t="shared" ca="1" si="0"/>
        <v/>
      </c>
      <c r="I5" s="1" t="s">
        <v>5</v>
      </c>
      <c r="J5" s="1" t="str">
        <f t="shared" si="1"/>
        <v>2025-03</v>
      </c>
      <c r="K5" s="1">
        <v>4620</v>
      </c>
      <c r="L5" s="1">
        <v>200</v>
      </c>
    </row>
    <row r="6" spans="1:12" hidden="1">
      <c r="A6" s="2">
        <v>45708</v>
      </c>
      <c r="B6" s="1">
        <v>100000</v>
      </c>
      <c r="C6" s="1">
        <v>540</v>
      </c>
      <c r="D6" s="1">
        <v>38</v>
      </c>
      <c r="E6" s="2">
        <f t="shared" si="2"/>
        <v>45746</v>
      </c>
      <c r="F6" s="2">
        <v>45748</v>
      </c>
      <c r="G6" s="1">
        <f t="shared" si="3"/>
        <v>5400</v>
      </c>
      <c r="H6" s="1" t="str">
        <f t="shared" ca="1" si="0"/>
        <v/>
      </c>
      <c r="I6" s="1" t="s">
        <v>5</v>
      </c>
      <c r="J6" s="1" t="str">
        <f t="shared" si="1"/>
        <v>2025-04</v>
      </c>
      <c r="K6" s="1">
        <v>5200</v>
      </c>
    </row>
    <row r="7" spans="1:12" hidden="1">
      <c r="A7" s="2">
        <v>45719</v>
      </c>
      <c r="B7" s="1">
        <v>100000</v>
      </c>
      <c r="C7" s="1">
        <v>330</v>
      </c>
      <c r="D7" s="1">
        <v>27</v>
      </c>
      <c r="E7" s="2">
        <f t="shared" si="2"/>
        <v>45746</v>
      </c>
      <c r="F7" s="2">
        <v>45751</v>
      </c>
      <c r="G7" s="1">
        <f t="shared" si="3"/>
        <v>3300</v>
      </c>
      <c r="H7" s="1" t="str">
        <f t="shared" ca="1" si="0"/>
        <v/>
      </c>
      <c r="I7" s="1" t="s">
        <v>5</v>
      </c>
      <c r="J7" s="1" t="str">
        <f t="shared" si="1"/>
        <v>2025-04</v>
      </c>
      <c r="K7" s="1">
        <v>3300</v>
      </c>
    </row>
    <row r="8" spans="1:12" hidden="1">
      <c r="A8" s="2">
        <v>45733</v>
      </c>
      <c r="B8" s="1">
        <v>100000</v>
      </c>
      <c r="C8" s="1">
        <v>520</v>
      </c>
      <c r="D8" s="1">
        <v>38</v>
      </c>
      <c r="E8" s="2">
        <f t="shared" si="2"/>
        <v>45771</v>
      </c>
      <c r="F8" s="2">
        <v>45784</v>
      </c>
      <c r="G8" s="1">
        <f t="shared" si="3"/>
        <v>5200</v>
      </c>
      <c r="H8" s="1" t="str">
        <f t="shared" ca="1" si="0"/>
        <v/>
      </c>
      <c r="I8" s="1" t="s">
        <v>5</v>
      </c>
      <c r="J8" s="1" t="str">
        <f t="shared" si="1"/>
        <v>2025-05</v>
      </c>
      <c r="K8" s="1">
        <v>5200</v>
      </c>
      <c r="L8" s="1">
        <v>200</v>
      </c>
    </row>
    <row r="9" spans="1:12" hidden="1">
      <c r="A9" s="2">
        <v>45740</v>
      </c>
      <c r="B9" s="1">
        <v>100000</v>
      </c>
      <c r="C9" s="1">
        <v>280</v>
      </c>
      <c r="D9" s="1">
        <v>27</v>
      </c>
      <c r="E9" s="2">
        <f t="shared" si="2"/>
        <v>45767</v>
      </c>
      <c r="F9" s="2">
        <v>45769</v>
      </c>
      <c r="G9" s="1">
        <f t="shared" si="3"/>
        <v>2800</v>
      </c>
      <c r="H9" s="1" t="str">
        <f t="shared" ca="1" si="0"/>
        <v/>
      </c>
      <c r="I9" s="1" t="s">
        <v>5</v>
      </c>
      <c r="J9" s="1" t="str">
        <f t="shared" si="1"/>
        <v>2025-04</v>
      </c>
      <c r="K9" s="1">
        <v>2800</v>
      </c>
      <c r="L9" s="1">
        <v>200</v>
      </c>
    </row>
    <row r="10" spans="1:12" ht="19" hidden="1" customHeight="1">
      <c r="A10" s="2">
        <v>45743</v>
      </c>
      <c r="B10" s="1">
        <v>200000</v>
      </c>
      <c r="C10" s="1">
        <v>320</v>
      </c>
      <c r="D10" s="1">
        <v>28</v>
      </c>
      <c r="E10" s="2">
        <f t="shared" si="2"/>
        <v>45771</v>
      </c>
      <c r="F10" s="2">
        <v>45776</v>
      </c>
      <c r="G10" s="1">
        <f t="shared" si="3"/>
        <v>6400</v>
      </c>
      <c r="H10" s="1" t="str">
        <f t="shared" ca="1" si="0"/>
        <v/>
      </c>
      <c r="I10" s="1" t="s">
        <v>5</v>
      </c>
      <c r="J10" s="1" t="str">
        <f t="shared" si="1"/>
        <v>2025-04</v>
      </c>
      <c r="K10" s="1">
        <v>6400</v>
      </c>
    </row>
    <row r="11" spans="1:12" hidden="1">
      <c r="A11" s="2">
        <v>45750</v>
      </c>
      <c r="B11" s="1">
        <v>200000</v>
      </c>
      <c r="C11" s="1">
        <v>300</v>
      </c>
      <c r="D11" s="1">
        <v>28</v>
      </c>
      <c r="E11" s="2">
        <f t="shared" si="2"/>
        <v>45778</v>
      </c>
      <c r="F11" s="2">
        <v>45783</v>
      </c>
      <c r="G11" s="1">
        <f t="shared" si="3"/>
        <v>6000</v>
      </c>
      <c r="H11" s="1" t="str">
        <f t="shared" ca="1" si="0"/>
        <v/>
      </c>
      <c r="I11" s="1" t="s">
        <v>5</v>
      </c>
      <c r="J11" s="1" t="str">
        <f t="shared" si="1"/>
        <v>2025-05</v>
      </c>
      <c r="K11" s="1">
        <v>6000</v>
      </c>
    </row>
    <row r="12" spans="1:12" hidden="1">
      <c r="A12" s="2">
        <v>45768</v>
      </c>
      <c r="B12" s="1">
        <v>120000</v>
      </c>
      <c r="C12" s="1">
        <v>320</v>
      </c>
      <c r="D12" s="1">
        <v>28</v>
      </c>
      <c r="E12" s="2">
        <f t="shared" si="2"/>
        <v>45796</v>
      </c>
      <c r="F12" s="2">
        <v>45799</v>
      </c>
      <c r="G12" s="1">
        <f t="shared" si="3"/>
        <v>3840</v>
      </c>
      <c r="H12" s="1" t="str">
        <f t="shared" ca="1" si="0"/>
        <v/>
      </c>
      <c r="I12" s="1" t="s">
        <v>5</v>
      </c>
      <c r="J12" s="1" t="str">
        <f t="shared" si="1"/>
        <v>2025-05</v>
      </c>
      <c r="K12" s="1">
        <v>3840</v>
      </c>
    </row>
    <row r="13" spans="1:12" hidden="1">
      <c r="A13" s="2">
        <v>45775</v>
      </c>
      <c r="B13" s="1">
        <v>200000</v>
      </c>
      <c r="C13" s="1">
        <v>310</v>
      </c>
      <c r="D13" s="1">
        <v>30</v>
      </c>
      <c r="E13" s="2">
        <f t="shared" si="2"/>
        <v>45805</v>
      </c>
      <c r="F13" s="2">
        <v>45807</v>
      </c>
      <c r="G13" s="1">
        <f t="shared" si="3"/>
        <v>6200</v>
      </c>
      <c r="H13" s="1" t="str">
        <f t="shared" ca="1" si="0"/>
        <v/>
      </c>
      <c r="I13" s="1" t="s">
        <v>5</v>
      </c>
      <c r="J13" s="1" t="str">
        <f>IF(F13&lt;&gt;"",TEXT(F13,"yyyy-MM"),"")</f>
        <v>2025-05</v>
      </c>
      <c r="K13" s="1">
        <v>6200</v>
      </c>
    </row>
    <row r="14" spans="1:12" hidden="1">
      <c r="A14" s="2">
        <v>45780</v>
      </c>
      <c r="B14" s="1">
        <v>100000</v>
      </c>
      <c r="C14" s="1">
        <v>520</v>
      </c>
      <c r="D14" s="1">
        <v>46</v>
      </c>
      <c r="E14" s="2">
        <f t="shared" si="2"/>
        <v>45826</v>
      </c>
      <c r="F14" s="2">
        <v>45828</v>
      </c>
      <c r="G14" s="1">
        <f t="shared" si="3"/>
        <v>5200</v>
      </c>
      <c r="H14" s="1" t="str">
        <f t="shared" ca="1" si="0"/>
        <v/>
      </c>
      <c r="I14" s="1" t="s">
        <v>5</v>
      </c>
      <c r="J14" s="1" t="str">
        <f t="shared" ref="J14:J59" si="4">IF(F14&lt;&gt;"",TEXT(F14,"yyyy-MM"),"")</f>
        <v>2025-06</v>
      </c>
      <c r="K14" s="1">
        <v>5200</v>
      </c>
    </row>
    <row r="15" spans="1:12" hidden="1">
      <c r="A15" s="2">
        <v>45778</v>
      </c>
      <c r="B15" s="1">
        <v>200000</v>
      </c>
      <c r="C15" s="4">
        <v>310</v>
      </c>
      <c r="D15" s="1">
        <v>30</v>
      </c>
      <c r="E15" s="2">
        <f t="shared" si="2"/>
        <v>45808</v>
      </c>
      <c r="F15" s="2">
        <v>45814</v>
      </c>
      <c r="G15" s="1">
        <f t="shared" si="3"/>
        <v>6200</v>
      </c>
      <c r="H15" s="1" t="str">
        <f t="shared" ca="1" si="0"/>
        <v/>
      </c>
      <c r="I15" s="1" t="s">
        <v>5</v>
      </c>
      <c r="J15" s="1" t="str">
        <f t="shared" si="4"/>
        <v>2025-06</v>
      </c>
      <c r="K15" s="1">
        <v>6200</v>
      </c>
    </row>
    <row r="16" spans="1:12" hidden="1">
      <c r="A16" s="2">
        <v>45784</v>
      </c>
      <c r="B16" s="1">
        <v>100000</v>
      </c>
      <c r="C16" s="1">
        <v>310</v>
      </c>
      <c r="D16" s="1">
        <v>30</v>
      </c>
      <c r="E16" s="2">
        <f t="shared" si="2"/>
        <v>45814</v>
      </c>
      <c r="F16" s="2">
        <v>45818</v>
      </c>
      <c r="G16" s="1">
        <f t="shared" si="3"/>
        <v>3100</v>
      </c>
      <c r="H16" s="1" t="str">
        <f t="shared" ca="1" si="0"/>
        <v/>
      </c>
      <c r="I16" s="1" t="s">
        <v>5</v>
      </c>
      <c r="J16" s="1" t="str">
        <f t="shared" si="4"/>
        <v>2025-06</v>
      </c>
      <c r="K16" s="1">
        <v>3100</v>
      </c>
    </row>
    <row r="17" spans="1:13" hidden="1">
      <c r="A17" s="2">
        <v>45785</v>
      </c>
      <c r="B17" s="1">
        <v>170000</v>
      </c>
      <c r="C17" s="1">
        <v>300</v>
      </c>
      <c r="D17" s="1">
        <v>30</v>
      </c>
      <c r="E17" s="2">
        <f t="shared" si="2"/>
        <v>45815</v>
      </c>
      <c r="F17" s="2">
        <v>45821</v>
      </c>
      <c r="G17" s="1">
        <f t="shared" si="3"/>
        <v>5100</v>
      </c>
      <c r="H17" s="1" t="str">
        <f t="shared" ca="1" si="0"/>
        <v/>
      </c>
      <c r="I17" s="1" t="s">
        <v>5</v>
      </c>
      <c r="J17" s="1" t="str">
        <f t="shared" si="4"/>
        <v>2025-06</v>
      </c>
      <c r="K17" s="1">
        <v>5100</v>
      </c>
      <c r="L17" s="1">
        <v>200</v>
      </c>
    </row>
    <row r="18" spans="1:13" hidden="1">
      <c r="A18" s="2">
        <v>45803</v>
      </c>
      <c r="B18" s="1">
        <v>200000</v>
      </c>
      <c r="C18" s="1">
        <v>310</v>
      </c>
      <c r="D18" s="1">
        <v>28</v>
      </c>
      <c r="E18" s="2">
        <f t="shared" si="2"/>
        <v>45831</v>
      </c>
      <c r="F18" s="2">
        <v>45835</v>
      </c>
      <c r="G18" s="1">
        <f t="shared" si="3"/>
        <v>6200</v>
      </c>
      <c r="H18" s="1" t="str">
        <f t="shared" ca="1" si="0"/>
        <v/>
      </c>
      <c r="I18" s="1" t="s">
        <v>5</v>
      </c>
      <c r="J18" s="1" t="str">
        <f t="shared" si="4"/>
        <v>2025-06</v>
      </c>
      <c r="K18" s="1">
        <v>6200</v>
      </c>
    </row>
    <row r="19" spans="1:13" hidden="1">
      <c r="A19" s="2">
        <v>45803</v>
      </c>
      <c r="B19" s="1">
        <v>90000</v>
      </c>
      <c r="C19" s="1">
        <v>480</v>
      </c>
      <c r="D19" s="1">
        <v>39</v>
      </c>
      <c r="E19" s="2">
        <f t="shared" si="2"/>
        <v>45842</v>
      </c>
      <c r="F19" s="2">
        <v>45847</v>
      </c>
      <c r="G19" s="1">
        <f t="shared" si="3"/>
        <v>4320</v>
      </c>
      <c r="H19" s="1" t="str">
        <f t="shared" ca="1" si="0"/>
        <v/>
      </c>
      <c r="I19" s="1" t="s">
        <v>5</v>
      </c>
      <c r="J19" s="1" t="str">
        <f t="shared" si="4"/>
        <v>2025-07</v>
      </c>
      <c r="K19" s="1">
        <v>4320</v>
      </c>
    </row>
    <row r="20" spans="1:13" hidden="1">
      <c r="A20" s="2">
        <v>45807</v>
      </c>
      <c r="B20" s="1">
        <v>180000</v>
      </c>
      <c r="C20" s="1">
        <v>300</v>
      </c>
      <c r="D20" s="1">
        <v>30</v>
      </c>
      <c r="E20" s="2">
        <f t="shared" si="2"/>
        <v>45837</v>
      </c>
      <c r="F20" s="2">
        <v>45840</v>
      </c>
      <c r="G20" s="1">
        <f t="shared" si="3"/>
        <v>5400</v>
      </c>
      <c r="H20" s="1" t="str">
        <f t="shared" ca="1" si="0"/>
        <v/>
      </c>
      <c r="I20" s="1" t="s">
        <v>5</v>
      </c>
      <c r="J20" s="1" t="str">
        <f t="shared" si="4"/>
        <v>2025-07</v>
      </c>
      <c r="K20" s="1">
        <v>5400</v>
      </c>
      <c r="L20" s="1">
        <v>200</v>
      </c>
    </row>
    <row r="21" spans="1:13" hidden="1">
      <c r="A21" s="2">
        <v>45816</v>
      </c>
      <c r="B21" s="1">
        <v>200000</v>
      </c>
      <c r="C21" s="1">
        <v>290</v>
      </c>
      <c r="D21" s="1">
        <v>30</v>
      </c>
      <c r="E21" s="2">
        <f t="shared" si="2"/>
        <v>45846</v>
      </c>
      <c r="F21" s="2">
        <v>45855</v>
      </c>
      <c r="G21" s="1">
        <f t="shared" si="3"/>
        <v>5800</v>
      </c>
      <c r="H21" s="1" t="str">
        <f t="shared" ca="1" si="0"/>
        <v/>
      </c>
      <c r="I21" s="1" t="s">
        <v>5</v>
      </c>
      <c r="J21" s="1" t="str">
        <f t="shared" si="4"/>
        <v>2025-07</v>
      </c>
      <c r="K21" s="1">
        <v>5800</v>
      </c>
    </row>
    <row r="22" spans="1:13" hidden="1">
      <c r="A22" s="2">
        <v>45816</v>
      </c>
      <c r="B22" s="1">
        <v>100000</v>
      </c>
      <c r="C22" s="1">
        <v>300</v>
      </c>
      <c r="D22" s="1">
        <v>30</v>
      </c>
      <c r="E22" s="2">
        <f t="shared" si="2"/>
        <v>45846</v>
      </c>
      <c r="F22" s="2">
        <v>45856</v>
      </c>
      <c r="G22" s="1">
        <f t="shared" si="3"/>
        <v>3000</v>
      </c>
      <c r="H22" s="1" t="str">
        <f t="shared" ca="1" si="0"/>
        <v/>
      </c>
      <c r="I22" s="1" t="s">
        <v>5</v>
      </c>
      <c r="J22" s="1" t="str">
        <f t="shared" si="4"/>
        <v>2025-07</v>
      </c>
      <c r="K22" s="1">
        <v>0</v>
      </c>
      <c r="M22" s="1" t="s">
        <v>17</v>
      </c>
    </row>
    <row r="23" spans="1:13" hidden="1">
      <c r="A23" s="2">
        <v>45823</v>
      </c>
      <c r="B23" s="1">
        <v>200000</v>
      </c>
      <c r="C23" s="1">
        <v>300</v>
      </c>
      <c r="D23" s="1">
        <v>30</v>
      </c>
      <c r="E23" s="2">
        <f t="shared" si="2"/>
        <v>45853</v>
      </c>
      <c r="F23" s="2">
        <v>45866</v>
      </c>
      <c r="G23" s="1">
        <f t="shared" si="3"/>
        <v>6000</v>
      </c>
      <c r="H23" s="1" t="str">
        <f ca="1">IF(I23&lt;&gt;"是",E23-TODAY(),"")</f>
        <v/>
      </c>
      <c r="I23" s="1" t="s">
        <v>5</v>
      </c>
      <c r="J23" s="1" t="str">
        <f t="shared" si="4"/>
        <v>2025-07</v>
      </c>
      <c r="K23" s="1">
        <v>6000</v>
      </c>
    </row>
    <row r="24" spans="1:13" hidden="1">
      <c r="A24" s="2">
        <v>45830</v>
      </c>
      <c r="B24" s="1">
        <v>100000</v>
      </c>
      <c r="C24" s="1">
        <v>480</v>
      </c>
      <c r="D24" s="1">
        <v>49</v>
      </c>
      <c r="E24" s="2">
        <f t="shared" si="2"/>
        <v>45879</v>
      </c>
      <c r="F24" s="2">
        <v>45895</v>
      </c>
      <c r="G24" s="1">
        <f t="shared" si="3"/>
        <v>4800</v>
      </c>
      <c r="H24" s="1" t="str">
        <f t="shared" ca="1" si="0"/>
        <v/>
      </c>
      <c r="I24" s="1" t="s">
        <v>5</v>
      </c>
      <c r="J24" s="1" t="str">
        <f t="shared" si="4"/>
        <v>2025-08</v>
      </c>
      <c r="K24" s="1">
        <v>4800</v>
      </c>
    </row>
    <row r="25" spans="1:13" hidden="1">
      <c r="A25" s="2">
        <v>45831</v>
      </c>
      <c r="B25" s="1">
        <v>200000</v>
      </c>
      <c r="C25" s="1">
        <v>290</v>
      </c>
      <c r="D25" s="1">
        <v>30</v>
      </c>
      <c r="E25" s="2">
        <f t="shared" si="2"/>
        <v>45861</v>
      </c>
      <c r="F25" s="2">
        <v>45870</v>
      </c>
      <c r="G25" s="1">
        <f t="shared" si="3"/>
        <v>5800</v>
      </c>
      <c r="H25" s="1" t="str">
        <f t="shared" ca="1" si="0"/>
        <v/>
      </c>
      <c r="I25" s="1" t="s">
        <v>5</v>
      </c>
      <c r="J25" s="1" t="str">
        <f t="shared" si="4"/>
        <v>2025-08</v>
      </c>
      <c r="K25" s="1">
        <v>5800</v>
      </c>
    </row>
    <row r="26" spans="1:13" hidden="1">
      <c r="A26" s="2">
        <v>45842</v>
      </c>
      <c r="B26" s="1">
        <v>200000</v>
      </c>
      <c r="C26" s="1">
        <v>280</v>
      </c>
      <c r="D26" s="1">
        <v>35</v>
      </c>
      <c r="E26" s="2">
        <f t="shared" si="2"/>
        <v>45877</v>
      </c>
      <c r="F26" s="2">
        <v>45888</v>
      </c>
      <c r="G26" s="1">
        <f t="shared" si="3"/>
        <v>5600</v>
      </c>
      <c r="H26" s="1" t="str">
        <f t="shared" ca="1" si="0"/>
        <v/>
      </c>
      <c r="I26" s="1" t="s">
        <v>5</v>
      </c>
      <c r="J26" s="1" t="str">
        <f t="shared" si="4"/>
        <v>2025-08</v>
      </c>
      <c r="K26" s="1">
        <v>5600</v>
      </c>
      <c r="L26" s="1">
        <v>200</v>
      </c>
    </row>
    <row r="27" spans="1:13" hidden="1">
      <c r="A27" s="2">
        <v>45842</v>
      </c>
      <c r="B27" s="1">
        <v>100000</v>
      </c>
      <c r="C27" s="1">
        <v>290</v>
      </c>
      <c r="D27" s="1">
        <v>35</v>
      </c>
      <c r="E27" s="2">
        <f t="shared" si="2"/>
        <v>45877</v>
      </c>
      <c r="F27" s="2">
        <v>45881</v>
      </c>
      <c r="G27" s="1">
        <f t="shared" si="3"/>
        <v>2900</v>
      </c>
      <c r="H27" s="1" t="str">
        <f t="shared" ca="1" si="0"/>
        <v/>
      </c>
      <c r="I27" s="1" t="s">
        <v>5</v>
      </c>
      <c r="J27" s="1" t="str">
        <f t="shared" si="4"/>
        <v>2025-08</v>
      </c>
      <c r="K27" s="1">
        <v>2900</v>
      </c>
    </row>
    <row r="28" spans="1:13" hidden="1">
      <c r="A28" s="2">
        <v>45856</v>
      </c>
      <c r="B28" s="1">
        <v>130000</v>
      </c>
      <c r="C28" s="1">
        <v>290</v>
      </c>
      <c r="D28" s="1">
        <v>35</v>
      </c>
      <c r="E28" s="2">
        <f t="shared" si="2"/>
        <v>45891</v>
      </c>
      <c r="F28" s="2">
        <v>45908</v>
      </c>
      <c r="G28" s="1">
        <f t="shared" si="3"/>
        <v>3770</v>
      </c>
      <c r="H28" s="1" t="str">
        <f t="shared" ca="1" si="0"/>
        <v/>
      </c>
      <c r="I28" s="1" t="s">
        <v>5</v>
      </c>
      <c r="J28" s="1" t="str">
        <f t="shared" si="4"/>
        <v>2025-09</v>
      </c>
      <c r="K28" s="1">
        <v>3770</v>
      </c>
    </row>
    <row r="29" spans="1:13" hidden="1">
      <c r="A29" s="2">
        <v>45857</v>
      </c>
      <c r="B29" s="1">
        <v>200000</v>
      </c>
      <c r="C29" s="1">
        <v>290</v>
      </c>
      <c r="D29" s="1">
        <v>35</v>
      </c>
      <c r="E29" s="2">
        <f t="shared" si="2"/>
        <v>45892</v>
      </c>
      <c r="F29" s="2">
        <v>45905</v>
      </c>
      <c r="G29" s="1">
        <f t="shared" si="3"/>
        <v>5800</v>
      </c>
      <c r="H29" s="1" t="str">
        <f t="shared" ca="1" si="0"/>
        <v/>
      </c>
      <c r="I29" s="1" t="s">
        <v>5</v>
      </c>
      <c r="J29" s="1" t="str">
        <f t="shared" si="4"/>
        <v>2025-09</v>
      </c>
      <c r="K29" s="1">
        <v>5800</v>
      </c>
    </row>
    <row r="30" spans="1:13" hidden="1">
      <c r="A30" s="2">
        <v>45869</v>
      </c>
      <c r="B30" s="1">
        <v>200000</v>
      </c>
      <c r="C30" s="1">
        <v>290</v>
      </c>
      <c r="D30" s="1">
        <v>35</v>
      </c>
      <c r="E30" s="2">
        <f t="shared" si="2"/>
        <v>45904</v>
      </c>
      <c r="F30" s="2">
        <v>45919</v>
      </c>
      <c r="G30" s="1">
        <f t="shared" si="3"/>
        <v>5800</v>
      </c>
      <c r="H30" s="1" t="str">
        <f t="shared" ca="1" si="0"/>
        <v/>
      </c>
      <c r="I30" s="1" t="s">
        <v>5</v>
      </c>
      <c r="J30" s="1" t="str">
        <f t="shared" si="4"/>
        <v>2025-09</v>
      </c>
      <c r="K30" s="1">
        <v>5800</v>
      </c>
      <c r="L30" s="1">
        <v>200</v>
      </c>
    </row>
    <row r="31" spans="1:13" hidden="1">
      <c r="A31" s="2">
        <v>45869</v>
      </c>
      <c r="B31" s="1">
        <v>200000</v>
      </c>
      <c r="C31" s="1">
        <v>280</v>
      </c>
      <c r="D31" s="1">
        <v>35</v>
      </c>
      <c r="E31" s="2">
        <f t="shared" si="2"/>
        <v>45904</v>
      </c>
      <c r="F31" s="2">
        <v>45918</v>
      </c>
      <c r="G31" s="1">
        <f t="shared" si="3"/>
        <v>5600</v>
      </c>
      <c r="H31" s="1" t="str">
        <f t="shared" ca="1" si="0"/>
        <v/>
      </c>
      <c r="I31" s="1" t="s">
        <v>5</v>
      </c>
      <c r="J31" s="1" t="str">
        <f t="shared" si="4"/>
        <v>2025-09</v>
      </c>
      <c r="K31" s="1">
        <v>5600</v>
      </c>
    </row>
    <row r="32" spans="1:13" hidden="1">
      <c r="A32" s="2">
        <v>45875</v>
      </c>
      <c r="B32" s="1">
        <v>180000</v>
      </c>
      <c r="C32" s="1">
        <v>280</v>
      </c>
      <c r="D32" s="1">
        <v>35</v>
      </c>
      <c r="E32" s="2">
        <f t="shared" si="2"/>
        <v>45910</v>
      </c>
      <c r="F32" s="2">
        <v>45928</v>
      </c>
      <c r="G32" s="1">
        <f t="shared" si="3"/>
        <v>5040</v>
      </c>
      <c r="H32" s="1" t="str">
        <f t="shared" ca="1" si="0"/>
        <v/>
      </c>
      <c r="I32" s="1" t="s">
        <v>5</v>
      </c>
      <c r="J32" s="1" t="str">
        <f t="shared" si="4"/>
        <v>2025-09</v>
      </c>
      <c r="K32" s="1">
        <v>0</v>
      </c>
      <c r="M32" s="1" t="s">
        <v>17</v>
      </c>
    </row>
    <row r="33" spans="1:14" hidden="1">
      <c r="A33" s="2">
        <v>45887</v>
      </c>
      <c r="B33" s="1">
        <v>200000</v>
      </c>
      <c r="C33" s="1">
        <v>290</v>
      </c>
      <c r="D33" s="1">
        <v>35</v>
      </c>
      <c r="E33" s="2">
        <f t="shared" si="2"/>
        <v>45922</v>
      </c>
      <c r="F33" s="2">
        <v>45943</v>
      </c>
      <c r="G33" s="1">
        <f t="shared" si="3"/>
        <v>5800</v>
      </c>
      <c r="H33" s="1" t="str">
        <f t="shared" ca="1" si="0"/>
        <v/>
      </c>
      <c r="I33" s="1" t="s">
        <v>5</v>
      </c>
      <c r="J33" s="1" t="str">
        <f t="shared" si="4"/>
        <v>2025-10</v>
      </c>
      <c r="K33" s="1">
        <v>5800</v>
      </c>
    </row>
    <row r="34" spans="1:14" hidden="1">
      <c r="A34" s="2">
        <v>45900</v>
      </c>
      <c r="B34" s="1">
        <v>50000</v>
      </c>
      <c r="C34" s="1">
        <v>300</v>
      </c>
      <c r="D34" s="1">
        <v>35</v>
      </c>
      <c r="E34" s="2">
        <f t="shared" si="2"/>
        <v>45935</v>
      </c>
      <c r="F34" s="2">
        <v>45947</v>
      </c>
      <c r="G34" s="1">
        <f t="shared" si="3"/>
        <v>1500</v>
      </c>
      <c r="H34" s="1" t="str">
        <f t="shared" ca="1" si="0"/>
        <v/>
      </c>
      <c r="I34" s="1" t="s">
        <v>5</v>
      </c>
      <c r="J34" s="1" t="str">
        <f t="shared" si="4"/>
        <v>2025-10</v>
      </c>
      <c r="K34" s="1">
        <v>1500</v>
      </c>
    </row>
    <row r="35" spans="1:14" hidden="1">
      <c r="A35" s="2">
        <v>45900</v>
      </c>
      <c r="B35" s="1">
        <v>200000</v>
      </c>
      <c r="C35" s="1">
        <v>280</v>
      </c>
      <c r="D35" s="1">
        <v>35</v>
      </c>
      <c r="E35" s="2">
        <f t="shared" si="2"/>
        <v>45935</v>
      </c>
      <c r="F35" s="2">
        <v>45950</v>
      </c>
      <c r="G35" s="1">
        <f t="shared" si="3"/>
        <v>5600</v>
      </c>
      <c r="H35" s="1" t="str">
        <f t="shared" ca="1" si="0"/>
        <v/>
      </c>
      <c r="I35" s="1" t="s">
        <v>5</v>
      </c>
      <c r="J35" s="1" t="str">
        <f t="shared" si="4"/>
        <v>2025-10</v>
      </c>
      <c r="K35" s="1">
        <v>5600</v>
      </c>
    </row>
    <row r="36" spans="1:14" hidden="1">
      <c r="A36" s="2">
        <v>45910</v>
      </c>
      <c r="B36" s="1">
        <v>200000</v>
      </c>
      <c r="C36" s="1">
        <v>280</v>
      </c>
      <c r="D36" s="1">
        <v>35</v>
      </c>
      <c r="E36" s="2">
        <f t="shared" si="2"/>
        <v>45945</v>
      </c>
      <c r="F36" s="2">
        <v>45961</v>
      </c>
      <c r="G36" s="1">
        <f t="shared" si="3"/>
        <v>5600</v>
      </c>
      <c r="H36" s="1" t="str">
        <f t="shared" ca="1" si="0"/>
        <v/>
      </c>
      <c r="I36" s="1" t="s">
        <v>5</v>
      </c>
      <c r="J36" s="1" t="str">
        <f t="shared" si="4"/>
        <v>2025-10</v>
      </c>
      <c r="K36" s="1">
        <v>5600</v>
      </c>
      <c r="L36" s="1">
        <v>200</v>
      </c>
    </row>
    <row r="37" spans="1:14" hidden="1">
      <c r="A37" s="2">
        <v>45910</v>
      </c>
      <c r="B37" s="1">
        <v>50000</v>
      </c>
      <c r="C37" s="1">
        <v>290</v>
      </c>
      <c r="D37" s="1">
        <v>35</v>
      </c>
      <c r="E37" s="2">
        <f t="shared" si="2"/>
        <v>45945</v>
      </c>
      <c r="F37" s="2">
        <v>45960</v>
      </c>
      <c r="G37" s="1">
        <f t="shared" si="3"/>
        <v>1450</v>
      </c>
      <c r="H37" s="1" t="str">
        <f t="shared" ca="1" si="0"/>
        <v/>
      </c>
      <c r="I37" s="1" t="s">
        <v>5</v>
      </c>
      <c r="J37" s="1" t="str">
        <f t="shared" si="4"/>
        <v>2025-10</v>
      </c>
      <c r="K37" s="1">
        <v>1450</v>
      </c>
      <c r="M37" s="1" t="s">
        <v>18</v>
      </c>
      <c r="N37" s="1">
        <v>110000</v>
      </c>
    </row>
    <row r="38" spans="1:14" hidden="1">
      <c r="A38" s="2">
        <v>45912</v>
      </c>
      <c r="B38" s="1">
        <v>200000</v>
      </c>
      <c r="C38" s="1">
        <v>280</v>
      </c>
      <c r="D38" s="1">
        <v>35</v>
      </c>
      <c r="E38" s="2">
        <f t="shared" si="2"/>
        <v>45947</v>
      </c>
      <c r="F38" s="2">
        <v>45967</v>
      </c>
      <c r="G38" s="1">
        <f t="shared" si="3"/>
        <v>5600</v>
      </c>
      <c r="H38" s="1" t="str">
        <f t="shared" ca="1" si="0"/>
        <v/>
      </c>
      <c r="I38" s="1" t="s">
        <v>5</v>
      </c>
      <c r="J38" s="1" t="str">
        <f t="shared" si="4"/>
        <v>2025-11</v>
      </c>
      <c r="K38" s="1">
        <v>5600</v>
      </c>
      <c r="M38" s="1" t="s">
        <v>19</v>
      </c>
      <c r="N38" s="1">
        <v>140000</v>
      </c>
    </row>
    <row r="39" spans="1:14" hidden="1">
      <c r="A39" s="2">
        <v>45922</v>
      </c>
      <c r="B39" s="1">
        <v>200000</v>
      </c>
      <c r="C39" s="1">
        <v>280</v>
      </c>
      <c r="D39" s="1">
        <v>35</v>
      </c>
      <c r="E39" s="2">
        <f t="shared" si="2"/>
        <v>45957</v>
      </c>
      <c r="F39" s="2">
        <v>45975</v>
      </c>
      <c r="G39" s="1">
        <f t="shared" si="3"/>
        <v>5600</v>
      </c>
      <c r="H39" s="1" t="str">
        <f t="shared" ca="1" si="0"/>
        <v/>
      </c>
      <c r="I39" s="1" t="s">
        <v>5</v>
      </c>
      <c r="J39" s="1" t="str">
        <f t="shared" si="4"/>
        <v>2025-11</v>
      </c>
      <c r="K39" s="1">
        <v>5600</v>
      </c>
    </row>
    <row r="40" spans="1:14" hidden="1">
      <c r="A40" s="2">
        <v>45922</v>
      </c>
      <c r="B40" s="1">
        <v>140000</v>
      </c>
      <c r="C40" s="1">
        <v>280</v>
      </c>
      <c r="D40" s="1">
        <v>35</v>
      </c>
      <c r="E40" s="2">
        <f t="shared" si="2"/>
        <v>45957</v>
      </c>
      <c r="F40" s="2">
        <v>45975</v>
      </c>
      <c r="G40" s="1">
        <f t="shared" si="3"/>
        <v>3920</v>
      </c>
      <c r="H40" s="1" t="str">
        <f t="shared" ca="1" si="0"/>
        <v/>
      </c>
      <c r="I40" s="1" t="s">
        <v>5</v>
      </c>
      <c r="J40" s="1" t="str">
        <f t="shared" si="4"/>
        <v>2025-11</v>
      </c>
      <c r="K40" s="1">
        <v>3920</v>
      </c>
    </row>
    <row r="41" spans="1:14" hidden="1">
      <c r="A41" s="2">
        <v>45930</v>
      </c>
      <c r="B41" s="1">
        <v>200000</v>
      </c>
      <c r="C41" s="1">
        <v>280</v>
      </c>
      <c r="D41" s="1">
        <v>35</v>
      </c>
      <c r="E41" s="2">
        <f t="shared" si="2"/>
        <v>45965</v>
      </c>
      <c r="F41" s="2">
        <v>45982</v>
      </c>
      <c r="G41" s="1">
        <f t="shared" si="3"/>
        <v>5600</v>
      </c>
      <c r="H41" s="1" t="str">
        <f t="shared" ca="1" si="0"/>
        <v/>
      </c>
      <c r="I41" s="1" t="s">
        <v>5</v>
      </c>
      <c r="J41" s="1" t="str">
        <f t="shared" si="4"/>
        <v>2025-11</v>
      </c>
      <c r="K41" s="1">
        <v>5600</v>
      </c>
    </row>
    <row r="42" spans="1:14" hidden="1">
      <c r="A42" s="2">
        <v>45946</v>
      </c>
      <c r="B42" s="1">
        <v>70000</v>
      </c>
      <c r="C42" s="1">
        <v>270</v>
      </c>
      <c r="D42" s="1">
        <v>35</v>
      </c>
      <c r="E42" s="2">
        <f t="shared" si="2"/>
        <v>45981</v>
      </c>
      <c r="F42" s="2">
        <v>45996</v>
      </c>
      <c r="G42" s="1">
        <f t="shared" si="3"/>
        <v>1890</v>
      </c>
      <c r="H42" s="1" t="str">
        <f t="shared" ca="1" si="0"/>
        <v/>
      </c>
      <c r="I42" s="1" t="s">
        <v>5</v>
      </c>
      <c r="J42" s="1" t="str">
        <f t="shared" si="4"/>
        <v>2025-12</v>
      </c>
      <c r="K42" s="1">
        <v>1890</v>
      </c>
    </row>
    <row r="43" spans="1:14" hidden="1">
      <c r="A43" s="2">
        <v>45946</v>
      </c>
      <c r="B43" s="1">
        <v>200000</v>
      </c>
      <c r="C43" s="1">
        <v>280</v>
      </c>
      <c r="D43" s="1">
        <v>35</v>
      </c>
      <c r="E43" s="2">
        <f t="shared" ref="E43:E66" si="5">A43+D43</f>
        <v>45981</v>
      </c>
      <c r="F43" s="2">
        <v>46000</v>
      </c>
      <c r="G43" s="1">
        <f t="shared" ref="G43:G66" si="6">B43/10000*C43</f>
        <v>5600</v>
      </c>
      <c r="H43" s="1" t="str">
        <f t="shared" ref="H43:H66" ca="1" si="7">IF(I43&lt;&gt;"是",E43-TODAY(),"")</f>
        <v/>
      </c>
      <c r="I43" s="1" t="s">
        <v>5</v>
      </c>
      <c r="J43" s="1" t="str">
        <f t="shared" si="4"/>
        <v>2025-12</v>
      </c>
      <c r="K43" s="1">
        <v>5600</v>
      </c>
    </row>
    <row r="44" spans="1:14" hidden="1">
      <c r="A44" s="2">
        <v>45954</v>
      </c>
      <c r="B44" s="1">
        <v>80000</v>
      </c>
      <c r="C44" s="1">
        <v>280</v>
      </c>
      <c r="D44" s="1">
        <v>35</v>
      </c>
      <c r="E44" s="2">
        <f t="shared" si="5"/>
        <v>45989</v>
      </c>
      <c r="F44" s="2">
        <v>46008</v>
      </c>
      <c r="G44" s="1">
        <f t="shared" si="6"/>
        <v>2240</v>
      </c>
      <c r="H44" s="1" t="str">
        <f t="shared" ca="1" si="7"/>
        <v/>
      </c>
      <c r="I44" s="1" t="s">
        <v>5</v>
      </c>
      <c r="J44" s="1" t="str">
        <f t="shared" si="4"/>
        <v>2025-12</v>
      </c>
      <c r="K44" s="1">
        <v>1400</v>
      </c>
      <c r="M44" s="1" t="s">
        <v>20</v>
      </c>
    </row>
    <row r="45" spans="1:14" hidden="1">
      <c r="A45" s="2">
        <v>45954</v>
      </c>
      <c r="B45" s="1">
        <v>200000</v>
      </c>
      <c r="C45" s="1">
        <v>280</v>
      </c>
      <c r="D45" s="1">
        <v>35</v>
      </c>
      <c r="E45" s="2">
        <f t="shared" si="5"/>
        <v>45989</v>
      </c>
      <c r="F45" s="2">
        <v>46010</v>
      </c>
      <c r="G45" s="1">
        <f t="shared" si="6"/>
        <v>5600</v>
      </c>
      <c r="H45" s="1" t="str">
        <f t="shared" ca="1" si="7"/>
        <v/>
      </c>
      <c r="I45" s="1" t="s">
        <v>5</v>
      </c>
      <c r="J45" s="1" t="str">
        <f t="shared" si="4"/>
        <v>2025-12</v>
      </c>
      <c r="K45" s="1">
        <v>5600</v>
      </c>
    </row>
    <row r="46" spans="1:14" hidden="1">
      <c r="A46" s="2">
        <v>45965</v>
      </c>
      <c r="B46" s="1">
        <v>240000</v>
      </c>
      <c r="C46" s="1">
        <v>290</v>
      </c>
      <c r="D46" s="1">
        <v>35</v>
      </c>
      <c r="E46" s="2">
        <f t="shared" si="5"/>
        <v>46000</v>
      </c>
      <c r="F46" s="2">
        <v>46028</v>
      </c>
      <c r="G46" s="1">
        <f t="shared" si="6"/>
        <v>6960</v>
      </c>
      <c r="H46" s="1" t="str">
        <f t="shared" ca="1" si="7"/>
        <v/>
      </c>
      <c r="I46" s="1" t="s">
        <v>5</v>
      </c>
      <c r="J46" s="1" t="str">
        <f t="shared" si="4"/>
        <v>2026-01</v>
      </c>
      <c r="K46" s="1">
        <v>6960</v>
      </c>
    </row>
    <row r="47" spans="1:14" hidden="1">
      <c r="A47" s="2">
        <v>45969</v>
      </c>
      <c r="B47" s="1">
        <v>300000</v>
      </c>
      <c r="C47" s="1">
        <v>280</v>
      </c>
      <c r="D47" s="1">
        <v>35</v>
      </c>
      <c r="E47" s="2">
        <f t="shared" si="5"/>
        <v>46004</v>
      </c>
      <c r="F47" s="2">
        <v>46037</v>
      </c>
      <c r="G47" s="1">
        <f t="shared" si="6"/>
        <v>8400</v>
      </c>
      <c r="H47" s="1" t="str">
        <f t="shared" ca="1" si="7"/>
        <v/>
      </c>
      <c r="I47" s="1" t="s">
        <v>5</v>
      </c>
      <c r="J47" s="1" t="str">
        <f t="shared" si="4"/>
        <v>2026-01</v>
      </c>
      <c r="K47" s="1">
        <v>8400</v>
      </c>
    </row>
    <row r="48" spans="1:14" hidden="1">
      <c r="A48" s="2">
        <v>45978</v>
      </c>
      <c r="B48" s="1">
        <v>300000</v>
      </c>
      <c r="C48" s="1">
        <v>280</v>
      </c>
      <c r="D48" s="1">
        <v>35</v>
      </c>
      <c r="E48" s="2">
        <f t="shared" si="5"/>
        <v>46013</v>
      </c>
      <c r="F48" s="2">
        <v>46043</v>
      </c>
      <c r="G48" s="1">
        <f t="shared" si="6"/>
        <v>8400</v>
      </c>
      <c r="H48" s="1" t="str">
        <f t="shared" ca="1" si="7"/>
        <v/>
      </c>
      <c r="I48" s="1" t="s">
        <v>5</v>
      </c>
      <c r="J48" s="1" t="str">
        <f t="shared" si="4"/>
        <v>2026-01</v>
      </c>
      <c r="K48" s="1">
        <v>8400</v>
      </c>
    </row>
    <row r="49" spans="1:14" hidden="1">
      <c r="A49" s="2">
        <v>45988</v>
      </c>
      <c r="B49" s="1">
        <v>300000</v>
      </c>
      <c r="C49" s="1">
        <v>280</v>
      </c>
      <c r="D49" s="1">
        <v>35</v>
      </c>
      <c r="E49" s="2">
        <f t="shared" si="5"/>
        <v>46023</v>
      </c>
      <c r="F49" s="2">
        <v>46055</v>
      </c>
      <c r="G49" s="1">
        <f t="shared" si="6"/>
        <v>8400</v>
      </c>
      <c r="H49" s="1" t="str">
        <f t="shared" ca="1" si="7"/>
        <v/>
      </c>
      <c r="I49" s="1" t="s">
        <v>5</v>
      </c>
      <c r="J49" s="1" t="str">
        <f t="shared" si="4"/>
        <v>2026-02</v>
      </c>
      <c r="K49" s="1">
        <v>8400</v>
      </c>
    </row>
    <row r="50" spans="1:14" hidden="1">
      <c r="A50" s="2">
        <v>46000</v>
      </c>
      <c r="B50" s="1">
        <v>90000</v>
      </c>
      <c r="C50" s="1">
        <v>280</v>
      </c>
      <c r="D50" s="1">
        <v>35</v>
      </c>
      <c r="E50" s="2">
        <f t="shared" si="5"/>
        <v>46035</v>
      </c>
      <c r="F50" s="2">
        <v>46064</v>
      </c>
      <c r="G50" s="1">
        <f t="shared" si="6"/>
        <v>2520</v>
      </c>
      <c r="H50" s="1" t="str">
        <f t="shared" ca="1" si="7"/>
        <v/>
      </c>
      <c r="I50" s="1" t="s">
        <v>5</v>
      </c>
      <c r="J50" s="1" t="str">
        <f t="shared" si="4"/>
        <v>2026-02</v>
      </c>
      <c r="K50" s="1">
        <v>2520</v>
      </c>
    </row>
    <row r="51" spans="1:14" hidden="1">
      <c r="A51" s="2">
        <v>46001</v>
      </c>
      <c r="B51" s="1">
        <v>300000</v>
      </c>
      <c r="C51" s="1">
        <v>280</v>
      </c>
      <c r="D51" s="1">
        <v>35</v>
      </c>
      <c r="E51" s="2">
        <f t="shared" si="5"/>
        <v>46036</v>
      </c>
      <c r="F51" s="2">
        <v>46087</v>
      </c>
      <c r="G51" s="1">
        <f t="shared" si="6"/>
        <v>8400</v>
      </c>
      <c r="H51" s="1" t="str">
        <f t="shared" ca="1" si="7"/>
        <v/>
      </c>
      <c r="I51" s="1" t="s">
        <v>5</v>
      </c>
      <c r="J51" s="1" t="str">
        <f t="shared" si="4"/>
        <v>2026-03</v>
      </c>
      <c r="K51" s="1">
        <v>8400</v>
      </c>
      <c r="L51" s="1">
        <v>200</v>
      </c>
    </row>
    <row r="52" spans="1:14" hidden="1">
      <c r="A52" s="2">
        <v>46014</v>
      </c>
      <c r="B52" s="1">
        <v>300000</v>
      </c>
      <c r="C52" s="1">
        <v>280</v>
      </c>
      <c r="D52" s="1">
        <v>35</v>
      </c>
      <c r="E52" s="2">
        <f t="shared" si="5"/>
        <v>46049</v>
      </c>
      <c r="F52" s="2">
        <v>46093</v>
      </c>
      <c r="G52" s="1">
        <f t="shared" si="6"/>
        <v>8400</v>
      </c>
      <c r="H52" s="1" t="str">
        <f t="shared" ca="1" si="7"/>
        <v/>
      </c>
      <c r="I52" s="1" t="s">
        <v>5</v>
      </c>
      <c r="J52" s="1" t="str">
        <f t="shared" si="4"/>
        <v>2026-03</v>
      </c>
      <c r="K52" s="1">
        <v>8400</v>
      </c>
    </row>
    <row r="53" spans="1:14" hidden="1">
      <c r="A53" s="2">
        <v>46031</v>
      </c>
      <c r="B53" s="1">
        <v>300000</v>
      </c>
      <c r="C53" s="1">
        <v>280</v>
      </c>
      <c r="D53" s="1">
        <v>35</v>
      </c>
      <c r="E53" s="2">
        <f t="shared" si="5"/>
        <v>46066</v>
      </c>
      <c r="F53" s="2">
        <v>46105</v>
      </c>
      <c r="G53" s="1">
        <f t="shared" si="6"/>
        <v>8400</v>
      </c>
      <c r="H53" s="1" t="str">
        <f t="shared" ca="1" si="7"/>
        <v/>
      </c>
      <c r="I53" s="1" t="s">
        <v>5</v>
      </c>
      <c r="J53" s="1" t="str">
        <f t="shared" si="4"/>
        <v>2026-03</v>
      </c>
      <c r="K53" s="1">
        <v>8400</v>
      </c>
    </row>
    <row r="54" spans="1:14" hidden="1">
      <c r="A54" s="2">
        <v>46047</v>
      </c>
      <c r="B54" s="1">
        <v>300000</v>
      </c>
      <c r="C54" s="1">
        <v>280</v>
      </c>
      <c r="D54" s="1">
        <v>35</v>
      </c>
      <c r="E54" s="2">
        <f t="shared" si="5"/>
        <v>46082</v>
      </c>
      <c r="F54" s="2">
        <v>46122</v>
      </c>
      <c r="G54" s="1">
        <f t="shared" si="6"/>
        <v>8400</v>
      </c>
      <c r="H54" s="1" t="str">
        <f t="shared" ca="1" si="7"/>
        <v/>
      </c>
      <c r="I54" s="1" t="s">
        <v>5</v>
      </c>
      <c r="J54" s="1" t="str">
        <f t="shared" si="4"/>
        <v>2026-04</v>
      </c>
      <c r="K54" s="1">
        <v>8400</v>
      </c>
    </row>
    <row r="55" spans="1:14" hidden="1">
      <c r="A55" s="2">
        <v>46048</v>
      </c>
      <c r="B55" s="1">
        <v>300000</v>
      </c>
      <c r="C55" s="1">
        <v>280</v>
      </c>
      <c r="D55" s="1">
        <v>35</v>
      </c>
      <c r="E55" s="2">
        <f t="shared" si="5"/>
        <v>46083</v>
      </c>
      <c r="F55" s="2">
        <v>46129</v>
      </c>
      <c r="G55" s="1">
        <f t="shared" si="6"/>
        <v>8400</v>
      </c>
      <c r="H55" s="1" t="str">
        <f t="shared" ca="1" si="7"/>
        <v/>
      </c>
      <c r="I55" s="1" t="s">
        <v>5</v>
      </c>
      <c r="J55" s="1" t="str">
        <f t="shared" si="4"/>
        <v>2026-04</v>
      </c>
      <c r="K55" s="1">
        <v>8400</v>
      </c>
      <c r="L55" s="1">
        <v>200</v>
      </c>
    </row>
    <row r="56" spans="1:14" hidden="1">
      <c r="A56" s="2">
        <v>46058</v>
      </c>
      <c r="B56" s="1">
        <v>300000</v>
      </c>
      <c r="C56" s="1">
        <v>290</v>
      </c>
      <c r="D56" s="1">
        <v>35</v>
      </c>
      <c r="E56" s="2">
        <f t="shared" si="5"/>
        <v>46093</v>
      </c>
      <c r="F56" s="2">
        <v>46136</v>
      </c>
      <c r="G56" s="1">
        <f t="shared" si="6"/>
        <v>8700</v>
      </c>
      <c r="H56" s="1" t="str">
        <f t="shared" ca="1" si="7"/>
        <v/>
      </c>
      <c r="I56" s="1" t="s">
        <v>5</v>
      </c>
      <c r="J56" s="1" t="str">
        <f t="shared" si="4"/>
        <v>2026-04</v>
      </c>
      <c r="K56" s="1">
        <v>8400</v>
      </c>
    </row>
    <row r="57" spans="1:14" hidden="1">
      <c r="A57" s="2">
        <v>46065</v>
      </c>
      <c r="B57" s="1">
        <v>200000</v>
      </c>
      <c r="C57" s="1">
        <v>290</v>
      </c>
      <c r="D57" s="1">
        <v>35</v>
      </c>
      <c r="E57" s="2">
        <f t="shared" si="5"/>
        <v>46100</v>
      </c>
      <c r="F57" s="2">
        <v>46150</v>
      </c>
      <c r="G57" s="1">
        <f t="shared" si="6"/>
        <v>5800</v>
      </c>
      <c r="H57" s="1" t="str">
        <f t="shared" ca="1" si="7"/>
        <v/>
      </c>
      <c r="I57" s="1" t="s">
        <v>5</v>
      </c>
      <c r="J57" s="1" t="str">
        <f t="shared" si="4"/>
        <v>2026-05</v>
      </c>
      <c r="K57" s="1">
        <v>2900</v>
      </c>
      <c r="M57" s="1" t="s">
        <v>21</v>
      </c>
      <c r="N57" s="1" t="s">
        <v>23</v>
      </c>
    </row>
    <row r="58" spans="1:14">
      <c r="A58" s="2">
        <v>46094</v>
      </c>
      <c r="B58" s="1">
        <v>300000</v>
      </c>
      <c r="C58" s="1">
        <v>280</v>
      </c>
      <c r="D58" s="1">
        <v>35</v>
      </c>
      <c r="E58" s="2">
        <f t="shared" si="5"/>
        <v>46129</v>
      </c>
      <c r="G58" s="1">
        <f t="shared" si="6"/>
        <v>8400</v>
      </c>
      <c r="H58" s="1">
        <f t="shared" ca="1" si="7"/>
        <v>-28</v>
      </c>
      <c r="J58" s="1" t="str">
        <f t="shared" si="4"/>
        <v/>
      </c>
    </row>
    <row r="59" spans="1:14" hidden="1">
      <c r="A59" s="2">
        <v>46095</v>
      </c>
      <c r="B59" s="1">
        <v>300000</v>
      </c>
      <c r="C59" s="1">
        <v>280</v>
      </c>
      <c r="D59" s="1">
        <v>35</v>
      </c>
      <c r="E59" s="2">
        <f t="shared" si="5"/>
        <v>46130</v>
      </c>
      <c r="F59" s="2">
        <v>46157</v>
      </c>
      <c r="G59" s="1">
        <f t="shared" si="6"/>
        <v>8400</v>
      </c>
      <c r="H59" s="1" t="str">
        <f t="shared" ca="1" si="7"/>
        <v/>
      </c>
      <c r="I59" s="1" t="s">
        <v>5</v>
      </c>
      <c r="J59" s="1" t="str">
        <f t="shared" si="4"/>
        <v>2026-05</v>
      </c>
      <c r="K59" s="1">
        <v>8400</v>
      </c>
      <c r="L59" s="1">
        <v>200</v>
      </c>
    </row>
    <row r="60" spans="1:14">
      <c r="A60" s="2">
        <v>46115</v>
      </c>
      <c r="B60" s="1">
        <v>180000</v>
      </c>
      <c r="C60" s="1">
        <v>280</v>
      </c>
      <c r="D60" s="1">
        <v>35</v>
      </c>
      <c r="E60" s="2">
        <f t="shared" si="5"/>
        <v>46150</v>
      </c>
      <c r="G60" s="1">
        <f t="shared" si="6"/>
        <v>5040</v>
      </c>
      <c r="H60" s="1">
        <f t="shared" ca="1" si="7"/>
        <v>-7</v>
      </c>
    </row>
    <row r="61" spans="1:14">
      <c r="A61" s="2">
        <v>46125</v>
      </c>
      <c r="B61" s="1">
        <v>220000</v>
      </c>
      <c r="C61" s="1">
        <v>280</v>
      </c>
      <c r="D61" s="1">
        <v>35</v>
      </c>
      <c r="E61" s="2">
        <f t="shared" si="5"/>
        <v>46160</v>
      </c>
      <c r="G61" s="1">
        <f t="shared" si="6"/>
        <v>6160</v>
      </c>
      <c r="H61" s="1">
        <f t="shared" ca="1" si="7"/>
        <v>3</v>
      </c>
    </row>
    <row r="62" spans="1:14">
      <c r="A62" s="2">
        <v>46125</v>
      </c>
      <c r="B62" s="1">
        <v>300000</v>
      </c>
      <c r="C62" s="1">
        <v>280</v>
      </c>
      <c r="D62" s="1">
        <v>35</v>
      </c>
      <c r="E62" s="2">
        <f t="shared" si="5"/>
        <v>46160</v>
      </c>
      <c r="G62" s="1">
        <f t="shared" si="6"/>
        <v>8400</v>
      </c>
      <c r="H62" s="1">
        <f t="shared" ca="1" si="7"/>
        <v>3</v>
      </c>
    </row>
    <row r="63" spans="1:14">
      <c r="A63" s="2">
        <v>46133</v>
      </c>
      <c r="B63" s="1">
        <v>300000</v>
      </c>
      <c r="C63" s="1">
        <v>280</v>
      </c>
      <c r="D63" s="1">
        <v>35</v>
      </c>
      <c r="E63" s="2">
        <f t="shared" si="5"/>
        <v>46168</v>
      </c>
      <c r="G63" s="1">
        <f t="shared" si="6"/>
        <v>8400</v>
      </c>
      <c r="H63" s="1">
        <f t="shared" ca="1" si="7"/>
        <v>11</v>
      </c>
      <c r="M63" s="1" t="s">
        <v>22</v>
      </c>
    </row>
    <row r="64" spans="1:14">
      <c r="A64" s="2">
        <v>46133</v>
      </c>
      <c r="B64" s="1">
        <v>300000</v>
      </c>
      <c r="C64" s="1">
        <v>280</v>
      </c>
      <c r="D64" s="1">
        <v>35</v>
      </c>
      <c r="E64" s="2">
        <f t="shared" si="5"/>
        <v>46168</v>
      </c>
      <c r="G64" s="1">
        <f t="shared" si="6"/>
        <v>8400</v>
      </c>
      <c r="H64" s="1">
        <f t="shared" ca="1" si="7"/>
        <v>11</v>
      </c>
    </row>
    <row r="65" spans="1:13">
      <c r="A65" s="2">
        <v>46153</v>
      </c>
      <c r="B65" s="1">
        <v>200000</v>
      </c>
      <c r="C65" s="1">
        <v>280</v>
      </c>
      <c r="D65" s="1">
        <v>35</v>
      </c>
      <c r="E65" s="2">
        <f t="shared" si="5"/>
        <v>46188</v>
      </c>
      <c r="G65" s="1">
        <f t="shared" si="6"/>
        <v>5600</v>
      </c>
      <c r="H65" s="1">
        <f t="shared" ca="1" si="7"/>
        <v>31</v>
      </c>
    </row>
    <row r="66" spans="1:13">
      <c r="A66" s="2">
        <v>46154</v>
      </c>
      <c r="B66" s="1">
        <v>250000</v>
      </c>
      <c r="C66" s="1">
        <v>280</v>
      </c>
      <c r="D66" s="1">
        <v>35</v>
      </c>
      <c r="E66" s="2">
        <f t="shared" si="5"/>
        <v>46189</v>
      </c>
      <c r="G66" s="1">
        <f t="shared" si="6"/>
        <v>7000</v>
      </c>
      <c r="H66" s="1">
        <f t="shared" ca="1" si="7"/>
        <v>32</v>
      </c>
      <c r="M66" s="1" t="s">
        <v>24</v>
      </c>
    </row>
    <row r="67" spans="1:13">
      <c r="A67" s="2"/>
    </row>
    <row r="68" spans="1:13">
      <c r="A68" s="2"/>
    </row>
    <row r="70" spans="1:13">
      <c r="B70" s="3" t="s">
        <v>9</v>
      </c>
      <c r="C70" s="4">
        <f>SUMIF(I:I,"",B:B)</f>
        <v>2050000</v>
      </c>
      <c r="E70" s="6" t="s">
        <v>16</v>
      </c>
      <c r="F70" s="7" t="s">
        <v>3</v>
      </c>
    </row>
    <row r="71" spans="1:13">
      <c r="B71" s="3" t="s">
        <v>10</v>
      </c>
      <c r="C71" s="4">
        <f>SUM(K:K)</f>
        <v>292190</v>
      </c>
      <c r="E71" s="6">
        <v>45689</v>
      </c>
      <c r="F71" s="7">
        <f t="shared" ref="F71:F86" si="8">SUMIF(J:J,E71,K:K)</f>
        <v>6200</v>
      </c>
    </row>
    <row r="72" spans="1:13">
      <c r="B72" s="3" t="s">
        <v>11</v>
      </c>
      <c r="C72" s="4">
        <f>SUMIF(I:I,"",G:G)</f>
        <v>57400</v>
      </c>
      <c r="E72" s="6">
        <v>45717</v>
      </c>
      <c r="F72" s="7">
        <f t="shared" si="8"/>
        <v>8120</v>
      </c>
    </row>
    <row r="73" spans="1:13">
      <c r="E73" s="6">
        <v>45748</v>
      </c>
      <c r="F73" s="7">
        <f t="shared" si="8"/>
        <v>17700</v>
      </c>
    </row>
    <row r="74" spans="1:13">
      <c r="E74" s="6">
        <v>45778</v>
      </c>
      <c r="F74" s="7">
        <f t="shared" si="8"/>
        <v>21240</v>
      </c>
    </row>
    <row r="75" spans="1:13">
      <c r="E75" s="6">
        <v>45809</v>
      </c>
      <c r="F75" s="7">
        <f t="shared" si="8"/>
        <v>25800</v>
      </c>
    </row>
    <row r="76" spans="1:13">
      <c r="E76" s="6">
        <v>45839</v>
      </c>
      <c r="F76" s="7">
        <f t="shared" si="8"/>
        <v>21520</v>
      </c>
    </row>
    <row r="77" spans="1:13">
      <c r="E77" s="6">
        <v>45870</v>
      </c>
      <c r="F77" s="7">
        <f t="shared" si="8"/>
        <v>19100</v>
      </c>
    </row>
    <row r="78" spans="1:13">
      <c r="E78" s="6">
        <v>45901</v>
      </c>
      <c r="F78" s="7">
        <f t="shared" si="8"/>
        <v>20970</v>
      </c>
    </row>
    <row r="79" spans="1:13">
      <c r="E79" s="6">
        <v>45931</v>
      </c>
      <c r="F79" s="7">
        <f t="shared" si="8"/>
        <v>19950</v>
      </c>
    </row>
    <row r="80" spans="1:13">
      <c r="E80" s="6">
        <v>45962</v>
      </c>
      <c r="F80" s="7">
        <f t="shared" si="8"/>
        <v>20720</v>
      </c>
    </row>
    <row r="81" spans="5:6">
      <c r="E81" s="6">
        <v>45992</v>
      </c>
      <c r="F81" s="7">
        <f t="shared" si="8"/>
        <v>14490</v>
      </c>
    </row>
    <row r="82" spans="5:6">
      <c r="E82" s="6">
        <v>46023</v>
      </c>
      <c r="F82" s="7">
        <f t="shared" si="8"/>
        <v>23760</v>
      </c>
    </row>
    <row r="83" spans="5:6">
      <c r="E83" s="6">
        <v>46054</v>
      </c>
      <c r="F83" s="7">
        <f t="shared" si="8"/>
        <v>10920</v>
      </c>
    </row>
    <row r="84" spans="5:6">
      <c r="E84" s="6">
        <v>46082</v>
      </c>
      <c r="F84" s="7">
        <f t="shared" si="8"/>
        <v>25200</v>
      </c>
    </row>
    <row r="85" spans="5:6">
      <c r="E85" s="6">
        <v>46113</v>
      </c>
      <c r="F85" s="7">
        <f t="shared" si="8"/>
        <v>25200</v>
      </c>
    </row>
    <row r="86" spans="5:6">
      <c r="E86" s="6">
        <v>46143</v>
      </c>
      <c r="F86" s="7">
        <f t="shared" si="8"/>
        <v>11300</v>
      </c>
    </row>
    <row r="87" spans="5:6">
      <c r="F87" s="5"/>
    </row>
    <row r="88" spans="5:6">
      <c r="F88" s="5"/>
    </row>
    <row r="89" spans="5:6">
      <c r="F89" s="5"/>
    </row>
    <row r="90" spans="5:6">
      <c r="F90" s="5"/>
    </row>
    <row r="91" spans="5:6">
      <c r="F91" s="5"/>
    </row>
    <row r="92" spans="5:6">
      <c r="F92" s="5"/>
    </row>
    <row r="93" spans="5:6">
      <c r="F93" s="5"/>
    </row>
  </sheetData>
  <autoFilter ref="A1:L66" xr:uid="{E9A602FF-479D-CC4C-BDFA-E609B00DE0B1}">
    <filterColumn colId="8">
      <filters blank="1"/>
    </filterColumn>
    <sortState xmlns:xlrd2="http://schemas.microsoft.com/office/spreadsheetml/2017/richdata2" ref="A3:L46">
      <sortCondition descending="1" ref="I1:I9"/>
    </sortState>
  </autoFilter>
  <phoneticPr fontId="1" type="noConversion"/>
  <conditionalFormatting sqref="H1:H1048576">
    <cfRule type="expression" dxfId="0" priority="1">
      <formula>AND(H1&lt;=5,H1&lt;&gt;"")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dcterms:created xsi:type="dcterms:W3CDTF">2025-02-05T08:04:44Z</dcterms:created>
  <dcterms:modified xsi:type="dcterms:W3CDTF">2026-05-15T10:02:14Z</dcterms:modified>
</cp:coreProperties>
</file>